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min/GitHub/it-pf-2-21/topic00-assignments/book-3/archives/"/>
    </mc:Choice>
  </mc:AlternateContent>
  <xr:revisionPtr revIDLastSave="0" documentId="8_{1255CAFE-103E-6440-A797-3097CEC89010}" xr6:coauthVersionLast="47" xr6:coauthVersionMax="47" xr10:uidLastSave="{00000000-0000-0000-0000-000000000000}"/>
  <bookViews>
    <workbookView xWindow="39320" yWindow="1900" windowWidth="28040" windowHeight="17440" xr2:uid="{83F3E2D8-D0A4-B646-A955-6B4DDDFA294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5" i="1" l="1"/>
  <c r="K25" i="1" s="1"/>
  <c r="G14" i="1"/>
  <c r="F14" i="1" s="1"/>
  <c r="F13" i="1"/>
  <c r="G13" i="1"/>
  <c r="R15" i="1"/>
  <c r="L12" i="1"/>
  <c r="G12" i="1"/>
  <c r="G11" i="1"/>
  <c r="G10" i="1"/>
  <c r="G9" i="1"/>
  <c r="G8" i="1"/>
  <c r="I7" i="1"/>
  <c r="G7" i="1"/>
  <c r="K7" i="1" s="1"/>
  <c r="K6" i="1"/>
  <c r="I6" i="1"/>
  <c r="G6" i="1"/>
  <c r="K5" i="1"/>
  <c r="I5" i="1"/>
  <c r="F25" i="1" l="1"/>
  <c r="I25" i="1" s="1"/>
  <c r="K8" i="1"/>
  <c r="I8" i="1"/>
  <c r="I9" i="1" s="1"/>
  <c r="I10" i="1" s="1"/>
  <c r="G26" i="1" l="1"/>
  <c r="K9" i="1"/>
  <c r="K10" i="1"/>
  <c r="K11" i="1"/>
  <c r="I11" i="1"/>
  <c r="K26" i="1" l="1"/>
  <c r="F26" i="1"/>
  <c r="I26" i="1" s="1"/>
  <c r="K12" i="1"/>
  <c r="I12" i="1"/>
  <c r="G27" i="1" l="1"/>
  <c r="I13" i="1"/>
  <c r="K13" i="1"/>
  <c r="K27" i="1" l="1"/>
  <c r="F27" i="1"/>
  <c r="I27" i="1" s="1"/>
  <c r="I14" i="1"/>
  <c r="G15" i="1" s="1"/>
  <c r="F15" i="1" s="1"/>
  <c r="K14" i="1"/>
  <c r="G28" i="1" l="1"/>
  <c r="I15" i="1"/>
  <c r="G16" i="1" s="1"/>
  <c r="F16" i="1" s="1"/>
  <c r="K15" i="1"/>
  <c r="K28" i="1" l="1"/>
  <c r="F28" i="1"/>
  <c r="I28" i="1" s="1"/>
  <c r="I16" i="1"/>
  <c r="G17" i="1" s="1"/>
  <c r="F17" i="1" s="1"/>
  <c r="K16" i="1"/>
  <c r="G29" i="1" l="1"/>
  <c r="I17" i="1"/>
  <c r="G18" i="1" s="1"/>
  <c r="F18" i="1" s="1"/>
  <c r="K17" i="1"/>
  <c r="K29" i="1" l="1"/>
  <c r="F29" i="1"/>
  <c r="I29" i="1" s="1"/>
  <c r="I18" i="1"/>
  <c r="G19" i="1" s="1"/>
  <c r="F19" i="1" s="1"/>
  <c r="K18" i="1"/>
  <c r="G30" i="1" l="1"/>
  <c r="I19" i="1"/>
  <c r="G20" i="1" s="1"/>
  <c r="F20" i="1" s="1"/>
  <c r="K19" i="1"/>
  <c r="K30" i="1" l="1"/>
  <c r="F30" i="1"/>
  <c r="I30" i="1" s="1"/>
  <c r="I20" i="1"/>
  <c r="G21" i="1" s="1"/>
  <c r="F21" i="1" s="1"/>
  <c r="K20" i="1"/>
  <c r="G31" i="1" l="1"/>
  <c r="I21" i="1"/>
  <c r="G22" i="1" s="1"/>
  <c r="F22" i="1" s="1"/>
  <c r="K21" i="1"/>
  <c r="K31" i="1" l="1"/>
  <c r="F31" i="1"/>
  <c r="I31" i="1" s="1"/>
  <c r="I22" i="1"/>
  <c r="G23" i="1" s="1"/>
  <c r="F23" i="1" s="1"/>
  <c r="K22" i="1"/>
  <c r="G32" i="1" l="1"/>
  <c r="K23" i="1"/>
  <c r="I23" i="1"/>
  <c r="G24" i="1" s="1"/>
  <c r="F24" i="1" s="1"/>
  <c r="K32" i="1" l="1"/>
  <c r="F32" i="1"/>
  <c r="I32" i="1" s="1"/>
  <c r="I24" i="1"/>
  <c r="K24" i="1"/>
  <c r="G33" i="1" l="1"/>
  <c r="K33" i="1" l="1"/>
  <c r="F33" i="1"/>
  <c r="I33" i="1" s="1"/>
  <c r="G34" i="1" l="1"/>
  <c r="K34" i="1" l="1"/>
  <c r="F34" i="1"/>
  <c r="I34" i="1" s="1"/>
  <c r="G35" i="1" l="1"/>
  <c r="K35" i="1" l="1"/>
  <c r="F35" i="1"/>
  <c r="I35" i="1" s="1"/>
</calcChain>
</file>

<file path=xl/sharedStrings.xml><?xml version="1.0" encoding="utf-8"?>
<sst xmlns="http://schemas.openxmlformats.org/spreadsheetml/2006/main" count="41" uniqueCount="17">
  <si>
    <t>total</t>
  </si>
  <si>
    <t>principal</t>
  </si>
  <si>
    <t>interest</t>
  </si>
  <si>
    <t>balance</t>
  </si>
  <si>
    <t>Feb</t>
  </si>
  <si>
    <t>Mar</t>
  </si>
  <si>
    <t>interest %</t>
  </si>
  <si>
    <t>April</t>
  </si>
  <si>
    <t>MAy</t>
  </si>
  <si>
    <t>June</t>
  </si>
  <si>
    <t>July</t>
  </si>
  <si>
    <t>August</t>
  </si>
  <si>
    <t>September</t>
  </si>
  <si>
    <t>Oct</t>
  </si>
  <si>
    <t>Nov</t>
  </si>
  <si>
    <t>Dec</t>
  </si>
  <si>
    <t>Jan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</si>
</sst>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06D02-6641-3D49-A90E-46421256B844}">
  <dimension ref="C1:R39"/>
  <sheetViews>
    <sheetView tabSelected="1" workbookViewId="0">
      <selection activeCell="I32" sqref="I32"/>
    </sheetView>
  </sheetViews>
  <sheetFormatPr baseColWidth="10" defaultRowHeight="16" x14ac:dyDescent="0.2"/>
  <cols>
    <col min="18" max="18" width="12.1640625" bestFit="1" customWidth="1"/>
  </cols>
  <sheetData>
    <row r="1" spans="3:18" x14ac:dyDescent="0.2">
      <c r="K1" t="s">
        <v>6</v>
      </c>
    </row>
    <row r="3" spans="3:18" x14ac:dyDescent="0.2">
      <c r="E3" t="s">
        <v>0</v>
      </c>
      <c r="F3" t="s">
        <v>1</v>
      </c>
      <c r="G3" t="s">
        <v>2</v>
      </c>
      <c r="I3" t="s">
        <v>3</v>
      </c>
    </row>
    <row r="4" spans="3:18" x14ac:dyDescent="0.2">
      <c r="C4">
        <v>21</v>
      </c>
      <c r="D4" t="s">
        <v>4</v>
      </c>
      <c r="E4">
        <v>700</v>
      </c>
      <c r="F4">
        <v>560.09</v>
      </c>
      <c r="G4">
        <v>139.91</v>
      </c>
      <c r="I4">
        <v>17747.18</v>
      </c>
    </row>
    <row r="5" spans="3:18" x14ac:dyDescent="0.2">
      <c r="D5" t="s">
        <v>5</v>
      </c>
      <c r="E5">
        <v>700</v>
      </c>
      <c r="F5">
        <v>564.09</v>
      </c>
      <c r="G5">
        <v>135.91</v>
      </c>
      <c r="I5">
        <f>(I4-F5)</f>
        <v>17183.09</v>
      </c>
      <c r="K5">
        <f>(G5/I4)</f>
        <v>7.6581180784778199E-3</v>
      </c>
    </row>
    <row r="6" spans="3:18" x14ac:dyDescent="0.2">
      <c r="D6" t="s">
        <v>7</v>
      </c>
      <c r="E6">
        <v>700</v>
      </c>
      <c r="F6">
        <v>554.30999999999995</v>
      </c>
      <c r="G6">
        <f>(E6 - F6)</f>
        <v>145.69000000000005</v>
      </c>
      <c r="I6">
        <f>(I5-F6)</f>
        <v>16628.78</v>
      </c>
      <c r="K6">
        <f>(G6/I5)</f>
        <v>8.4786845672111394E-3</v>
      </c>
    </row>
    <row r="7" spans="3:18" x14ac:dyDescent="0.2">
      <c r="D7" t="s">
        <v>8</v>
      </c>
      <c r="E7">
        <v>700</v>
      </c>
      <c r="F7">
        <v>563.55999999999995</v>
      </c>
      <c r="G7">
        <f t="shared" ref="G7:G24" si="0">(E7 - F7)</f>
        <v>136.44000000000005</v>
      </c>
      <c r="I7">
        <f t="shared" ref="I7:I24" si="1">(I6-F7)</f>
        <v>16065.22</v>
      </c>
      <c r="K7">
        <f t="shared" ref="K7:K24" si="2">(G7/I6)</f>
        <v>8.2050517235780409E-3</v>
      </c>
    </row>
    <row r="8" spans="3:18" x14ac:dyDescent="0.2">
      <c r="D8" t="s">
        <v>9</v>
      </c>
      <c r="E8">
        <v>700</v>
      </c>
      <c r="F8">
        <v>550</v>
      </c>
      <c r="G8">
        <f t="shared" si="0"/>
        <v>150</v>
      </c>
      <c r="I8">
        <f t="shared" si="1"/>
        <v>15515.22</v>
      </c>
      <c r="K8">
        <f t="shared" si="2"/>
        <v>9.3369402971138892E-3</v>
      </c>
    </row>
    <row r="9" spans="3:18" x14ac:dyDescent="0.2">
      <c r="D9" t="s">
        <v>10</v>
      </c>
      <c r="E9">
        <v>700</v>
      </c>
      <c r="F9">
        <v>581.22</v>
      </c>
      <c r="G9">
        <f t="shared" si="0"/>
        <v>118.77999999999997</v>
      </c>
      <c r="I9">
        <f t="shared" si="1"/>
        <v>14934</v>
      </c>
      <c r="K9">
        <f t="shared" si="2"/>
        <v>7.6557083947246625E-3</v>
      </c>
    </row>
    <row r="10" spans="3:18" x14ac:dyDescent="0.2">
      <c r="D10" t="s">
        <v>11</v>
      </c>
      <c r="E10">
        <v>700</v>
      </c>
      <c r="F10">
        <v>573.41</v>
      </c>
      <c r="G10">
        <f t="shared" si="0"/>
        <v>126.59000000000003</v>
      </c>
      <c r="I10">
        <f t="shared" si="1"/>
        <v>14360.59</v>
      </c>
      <c r="K10">
        <f t="shared" si="2"/>
        <v>8.4766305075666282E-3</v>
      </c>
    </row>
    <row r="11" spans="3:18" x14ac:dyDescent="0.2">
      <c r="D11" t="s">
        <v>12</v>
      </c>
      <c r="E11">
        <v>700</v>
      </c>
      <c r="F11">
        <v>574.35</v>
      </c>
      <c r="G11">
        <f t="shared" si="0"/>
        <v>125.64999999999998</v>
      </c>
      <c r="I11">
        <f t="shared" si="1"/>
        <v>13786.24</v>
      </c>
      <c r="K11">
        <f t="shared" si="2"/>
        <v>8.7496405091991337E-3</v>
      </c>
    </row>
    <row r="12" spans="3:18" x14ac:dyDescent="0.2">
      <c r="D12" t="s">
        <v>13</v>
      </c>
      <c r="E12">
        <v>700</v>
      </c>
      <c r="F12">
        <v>590.69000000000005</v>
      </c>
      <c r="G12">
        <f t="shared" si="0"/>
        <v>109.30999999999995</v>
      </c>
      <c r="I12">
        <f t="shared" si="1"/>
        <v>13195.55</v>
      </c>
      <c r="K12">
        <f t="shared" si="2"/>
        <v>7.9289204308063653E-3</v>
      </c>
      <c r="L12">
        <f>AVERAGE(K5:K12)</f>
        <v>8.3112118135847107E-3</v>
      </c>
    </row>
    <row r="13" spans="3:18" x14ac:dyDescent="0.2">
      <c r="D13" t="s">
        <v>14</v>
      </c>
      <c r="E13">
        <v>700</v>
      </c>
      <c r="F13">
        <f>(E13-G13)</f>
        <v>590.32898895325229</v>
      </c>
      <c r="G13">
        <f>(L$12*I12)</f>
        <v>109.67101104674772</v>
      </c>
      <c r="I13">
        <f t="shared" si="1"/>
        <v>12605.221011046748</v>
      </c>
      <c r="K13">
        <f t="shared" si="2"/>
        <v>8.3112118135847107E-3</v>
      </c>
    </row>
    <row r="14" spans="3:18" x14ac:dyDescent="0.2">
      <c r="D14" t="s">
        <v>15</v>
      </c>
      <c r="E14">
        <v>700</v>
      </c>
      <c r="F14">
        <f t="shared" ref="F14:F35" si="3">(E14-G14)</f>
        <v>595.23533822014201</v>
      </c>
      <c r="G14">
        <f t="shared" ref="G14:G24" si="4">(L$12*I13)</f>
        <v>104.76466177985795</v>
      </c>
      <c r="I14">
        <f t="shared" si="1"/>
        <v>12009.985672826606</v>
      </c>
      <c r="K14">
        <f t="shared" si="2"/>
        <v>8.3112118135847107E-3</v>
      </c>
    </row>
    <row r="15" spans="3:18" x14ac:dyDescent="0.2">
      <c r="D15" t="s">
        <v>16</v>
      </c>
      <c r="E15">
        <v>700</v>
      </c>
      <c r="F15">
        <f t="shared" si="3"/>
        <v>600.18246519502043</v>
      </c>
      <c r="G15">
        <f t="shared" si="4"/>
        <v>99.817534804979601</v>
      </c>
      <c r="I15">
        <f t="shared" si="1"/>
        <v>11409.803207631585</v>
      </c>
      <c r="K15">
        <f t="shared" si="2"/>
        <v>8.3112118135847107E-3</v>
      </c>
      <c r="R15">
        <f>(0.00831121*I12)</f>
        <v>109.67098711549998</v>
      </c>
    </row>
    <row r="16" spans="3:18" x14ac:dyDescent="0.2">
      <c r="C16">
        <v>22</v>
      </c>
      <c r="D16" t="s">
        <v>4</v>
      </c>
      <c r="E16">
        <v>700</v>
      </c>
      <c r="F16">
        <f t="shared" si="3"/>
        <v>605.17070879005564</v>
      </c>
      <c r="G16">
        <f t="shared" si="4"/>
        <v>94.829291209944358</v>
      </c>
      <c r="I16">
        <f t="shared" si="1"/>
        <v>10804.632498841529</v>
      </c>
      <c r="K16">
        <f t="shared" si="2"/>
        <v>8.3112118135847107E-3</v>
      </c>
    </row>
    <row r="17" spans="3:11" x14ac:dyDescent="0.2">
      <c r="D17" t="s">
        <v>5</v>
      </c>
      <c r="E17">
        <v>700</v>
      </c>
      <c r="F17">
        <f t="shared" si="3"/>
        <v>610.20041073418702</v>
      </c>
      <c r="G17">
        <f t="shared" si="4"/>
        <v>89.799589265813012</v>
      </c>
      <c r="I17">
        <f t="shared" si="1"/>
        <v>10194.432088107342</v>
      </c>
      <c r="K17">
        <f t="shared" si="2"/>
        <v>8.3112118135847107E-3</v>
      </c>
    </row>
    <row r="18" spans="3:11" x14ac:dyDescent="0.2">
      <c r="D18" t="s">
        <v>7</v>
      </c>
      <c r="E18">
        <v>700</v>
      </c>
      <c r="F18">
        <f t="shared" si="3"/>
        <v>615.27191559653522</v>
      </c>
      <c r="G18">
        <f t="shared" si="4"/>
        <v>84.728084403464791</v>
      </c>
      <c r="I18">
        <f t="shared" si="1"/>
        <v>9579.1601725108067</v>
      </c>
      <c r="K18">
        <f t="shared" si="2"/>
        <v>8.3112118135847107E-3</v>
      </c>
    </row>
    <row r="19" spans="3:11" x14ac:dyDescent="0.2">
      <c r="D19" t="s">
        <v>8</v>
      </c>
      <c r="E19">
        <v>700</v>
      </c>
      <c r="F19">
        <f t="shared" si="3"/>
        <v>620.38557081000806</v>
      </c>
      <c r="G19">
        <f t="shared" si="4"/>
        <v>79.614429189991966</v>
      </c>
      <c r="I19">
        <f t="shared" si="1"/>
        <v>8958.7746017007994</v>
      </c>
      <c r="K19">
        <f t="shared" si="2"/>
        <v>8.3112118135847107E-3</v>
      </c>
    </row>
    <row r="20" spans="3:11" x14ac:dyDescent="0.2">
      <c r="D20" t="s">
        <v>9</v>
      </c>
      <c r="E20">
        <v>700</v>
      </c>
      <c r="F20">
        <f t="shared" si="3"/>
        <v>625.54172669510172</v>
      </c>
      <c r="G20">
        <f t="shared" si="4"/>
        <v>74.458273304898341</v>
      </c>
      <c r="I20">
        <f t="shared" si="1"/>
        <v>8333.2328750056986</v>
      </c>
      <c r="K20">
        <f t="shared" si="2"/>
        <v>8.3112118135847107E-3</v>
      </c>
    </row>
    <row r="21" spans="3:11" x14ac:dyDescent="0.2">
      <c r="D21" t="s">
        <v>10</v>
      </c>
      <c r="E21">
        <v>700</v>
      </c>
      <c r="F21">
        <f t="shared" si="3"/>
        <v>630.74073648390015</v>
      </c>
      <c r="G21">
        <f t="shared" si="4"/>
        <v>69.25926351609985</v>
      </c>
      <c r="I21">
        <f t="shared" si="1"/>
        <v>7702.4921385217986</v>
      </c>
      <c r="K21">
        <f t="shared" si="2"/>
        <v>8.3112118135847107E-3</v>
      </c>
    </row>
    <row r="22" spans="3:11" x14ac:dyDescent="0.2">
      <c r="D22" t="s">
        <v>11</v>
      </c>
      <c r="E22">
        <v>700</v>
      </c>
      <c r="F22">
        <f t="shared" si="3"/>
        <v>635.98295634427427</v>
      </c>
      <c r="G22">
        <f t="shared" si="4"/>
        <v>64.017043655725729</v>
      </c>
      <c r="I22">
        <f t="shared" si="1"/>
        <v>7066.5091821775241</v>
      </c>
      <c r="K22">
        <f t="shared" si="2"/>
        <v>8.3112118135847107E-3</v>
      </c>
    </row>
    <row r="23" spans="3:11" x14ac:dyDescent="0.2">
      <c r="D23" t="s">
        <v>12</v>
      </c>
      <c r="E23">
        <v>700</v>
      </c>
      <c r="F23">
        <f t="shared" si="3"/>
        <v>641.26874540428139</v>
      </c>
      <c r="G23">
        <f t="shared" si="4"/>
        <v>58.731254595718667</v>
      </c>
      <c r="I23">
        <f t="shared" si="1"/>
        <v>6425.2404367732424</v>
      </c>
      <c r="K23">
        <f t="shared" si="2"/>
        <v>8.3112118135847107E-3</v>
      </c>
    </row>
    <row r="24" spans="3:11" x14ac:dyDescent="0.2">
      <c r="D24" t="s">
        <v>13</v>
      </c>
      <c r="E24">
        <v>700</v>
      </c>
      <c r="F24">
        <f t="shared" si="3"/>
        <v>646.59846577676808</v>
      </c>
      <c r="G24">
        <f t="shared" si="4"/>
        <v>53.401534223231955</v>
      </c>
      <c r="I24">
        <f t="shared" si="1"/>
        <v>5778.6419709964739</v>
      </c>
      <c r="K24">
        <f t="shared" si="2"/>
        <v>8.3112118135847107E-3</v>
      </c>
    </row>
    <row r="25" spans="3:11" x14ac:dyDescent="0.2">
      <c r="D25" t="s">
        <v>14</v>
      </c>
      <c r="E25">
        <v>700</v>
      </c>
      <c r="F25">
        <f>(E25-G25)</f>
        <v>651.97248258417767</v>
      </c>
      <c r="G25">
        <f>(L$12*I24)</f>
        <v>48.027517415822331</v>
      </c>
      <c r="I25">
        <f t="shared" ref="I25:I35" si="5">(I24-F25)</f>
        <v>5126.6694884122962</v>
      </c>
      <c r="K25">
        <f t="shared" ref="K25:K35" si="6">(G25/I24)</f>
        <v>8.3112118135847107E-3</v>
      </c>
    </row>
    <row r="26" spans="3:11" x14ac:dyDescent="0.2">
      <c r="D26" t="s">
        <v>15</v>
      </c>
      <c r="E26">
        <v>700</v>
      </c>
      <c r="F26">
        <f t="shared" si="3"/>
        <v>657.39116398356339</v>
      </c>
      <c r="G26">
        <f t="shared" ref="G26:G35" si="7">(L$12*I25)</f>
        <v>42.608836016436562</v>
      </c>
      <c r="I26">
        <f t="shared" si="5"/>
        <v>4469.278324428733</v>
      </c>
      <c r="K26">
        <f t="shared" si="6"/>
        <v>8.3112118135847107E-3</v>
      </c>
    </row>
    <row r="27" spans="3:11" x14ac:dyDescent="0.2">
      <c r="C27">
        <v>23</v>
      </c>
      <c r="D27" t="s">
        <v>16</v>
      </c>
      <c r="E27">
        <v>700</v>
      </c>
      <c r="F27">
        <f t="shared" si="3"/>
        <v>662.8548811918098</v>
      </c>
      <c r="G27">
        <f t="shared" si="7"/>
        <v>37.145118808190169</v>
      </c>
      <c r="I27">
        <f t="shared" si="5"/>
        <v>3806.423443236923</v>
      </c>
      <c r="K27">
        <f t="shared" si="6"/>
        <v>8.3112118135847107E-3</v>
      </c>
    </row>
    <row r="28" spans="3:11" x14ac:dyDescent="0.2">
      <c r="D28" t="s">
        <v>4</v>
      </c>
      <c r="E28">
        <v>700</v>
      </c>
      <c r="F28">
        <f t="shared" si="3"/>
        <v>668.3640085110635</v>
      </c>
      <c r="G28">
        <f t="shared" si="7"/>
        <v>31.635991488936508</v>
      </c>
      <c r="I28">
        <f t="shared" si="5"/>
        <v>3138.0594347258593</v>
      </c>
      <c r="K28">
        <f t="shared" si="6"/>
        <v>8.3112118135847107E-3</v>
      </c>
    </row>
    <row r="29" spans="3:11" x14ac:dyDescent="0.2">
      <c r="D29" t="s">
        <v>5</v>
      </c>
      <c r="E29">
        <v>700</v>
      </c>
      <c r="F29">
        <f t="shared" si="3"/>
        <v>673.91892335437547</v>
      </c>
      <c r="G29">
        <f t="shared" si="7"/>
        <v>26.08107664562452</v>
      </c>
      <c r="I29">
        <f t="shared" si="5"/>
        <v>2464.1405113714836</v>
      </c>
      <c r="K29">
        <f t="shared" si="6"/>
        <v>8.3112118135847107E-3</v>
      </c>
    </row>
    <row r="30" spans="3:11" x14ac:dyDescent="0.2">
      <c r="D30" t="s">
        <v>7</v>
      </c>
      <c r="E30">
        <v>700</v>
      </c>
      <c r="F30">
        <f t="shared" si="3"/>
        <v>679.52000627155667</v>
      </c>
      <c r="G30">
        <f t="shared" si="7"/>
        <v>20.479993728443343</v>
      </c>
      <c r="I30">
        <f t="shared" si="5"/>
        <v>1784.620505099927</v>
      </c>
      <c r="K30">
        <f t="shared" si="6"/>
        <v>8.3112118135847107E-3</v>
      </c>
    </row>
    <row r="31" spans="3:11" x14ac:dyDescent="0.2">
      <c r="D31" t="s">
        <v>8</v>
      </c>
      <c r="E31">
        <v>700</v>
      </c>
      <c r="F31">
        <f t="shared" si="3"/>
        <v>685.16764097524799</v>
      </c>
      <c r="G31">
        <f t="shared" si="7"/>
        <v>14.832359024752026</v>
      </c>
      <c r="I31">
        <f t="shared" si="5"/>
        <v>1099.4528641246789</v>
      </c>
      <c r="K31">
        <f t="shared" si="6"/>
        <v>8.3112118135847107E-3</v>
      </c>
    </row>
    <row r="32" spans="3:11" x14ac:dyDescent="0.2">
      <c r="D32" t="s">
        <v>9</v>
      </c>
      <c r="E32">
        <v>700</v>
      </c>
      <c r="F32">
        <f t="shared" si="3"/>
        <v>690.86221436720746</v>
      </c>
      <c r="G32">
        <f t="shared" si="7"/>
        <v>9.1377856327925766</v>
      </c>
      <c r="I32">
        <f t="shared" si="5"/>
        <v>408.5906497574714</v>
      </c>
      <c r="K32">
        <f t="shared" si="6"/>
        <v>8.3112118135847107E-3</v>
      </c>
    </row>
    <row r="33" spans="4:11" x14ac:dyDescent="0.2">
      <c r="D33" t="s">
        <v>10</v>
      </c>
      <c r="E33">
        <v>700</v>
      </c>
      <c r="F33">
        <f t="shared" si="3"/>
        <v>696.6041165648154</v>
      </c>
      <c r="G33">
        <f t="shared" si="7"/>
        <v>3.3958834351845493</v>
      </c>
      <c r="I33">
        <f t="shared" si="5"/>
        <v>-288.013466807344</v>
      </c>
      <c r="K33">
        <f t="shared" si="6"/>
        <v>8.3112118135847107E-3</v>
      </c>
    </row>
    <row r="34" spans="4:11" x14ac:dyDescent="0.2">
      <c r="D34" t="s">
        <v>11</v>
      </c>
      <c r="E34">
        <v>700</v>
      </c>
      <c r="F34">
        <f t="shared" si="3"/>
        <v>702.39374092780065</v>
      </c>
      <c r="G34">
        <f t="shared" si="7"/>
        <v>-2.3937409278006854</v>
      </c>
      <c r="I34">
        <f t="shared" si="5"/>
        <v>-990.40720773514465</v>
      </c>
      <c r="K34">
        <f t="shared" si="6"/>
        <v>8.3112118135847107E-3</v>
      </c>
    </row>
    <row r="35" spans="4:11" x14ac:dyDescent="0.2">
      <c r="D35" t="s">
        <v>12</v>
      </c>
      <c r="E35">
        <v>700</v>
      </c>
      <c r="F35">
        <f t="shared" si="3"/>
        <v>708.23148408518773</v>
      </c>
      <c r="G35">
        <f t="shared" si="7"/>
        <v>-8.2314840851877804</v>
      </c>
      <c r="I35">
        <f t="shared" si="5"/>
        <v>-1698.6386918203325</v>
      </c>
      <c r="K35">
        <f t="shared" si="6"/>
        <v>8.3112118135847107E-3</v>
      </c>
    </row>
    <row r="36" spans="4:11" x14ac:dyDescent="0.2">
      <c r="D36" t="s">
        <v>13</v>
      </c>
    </row>
    <row r="37" spans="4:11" x14ac:dyDescent="0.2">
      <c r="D37" t="s">
        <v>14</v>
      </c>
    </row>
    <row r="38" spans="4:11" x14ac:dyDescent="0.2">
      <c r="D38" t="s">
        <v>15</v>
      </c>
    </row>
    <row r="39" spans="4:11" x14ac:dyDescent="0.2">
      <c r="D39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Mairead Meagher</dc:creator>
  <cp:lastModifiedBy>Mairead Meagher</cp:lastModifiedBy>
  <dcterms:created xsi:type="dcterms:W3CDTF">2021-10-21T09:34:44Z</dcterms:created>
  <dcterms:modified xsi:type="dcterms:W3CDTF">2021-10-21T10:06:59Z</dcterms:modified>
</cp:coreProperties>
</file>